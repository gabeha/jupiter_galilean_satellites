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G:\My Drive\Uni\Courses\Semester 5\Astronomical Observing PRA2023\Week 4\"/>
    </mc:Choice>
  </mc:AlternateContent>
  <xr:revisionPtr revIDLastSave="0" documentId="13_ncr:1_{FEC341E8-5429-4A7C-A36E-C062A43102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H3" i="1"/>
  <c r="J7" i="1"/>
  <c r="J8" i="1"/>
  <c r="J9" i="1"/>
  <c r="J10" i="1"/>
  <c r="J11" i="1"/>
  <c r="J12" i="1"/>
  <c r="J13" i="1"/>
  <c r="J14" i="1"/>
  <c r="J15" i="1"/>
  <c r="J6" i="1"/>
  <c r="H4" i="1"/>
  <c r="H5" i="1"/>
  <c r="H6" i="1"/>
  <c r="H7" i="1"/>
  <c r="H8" i="1"/>
  <c r="H9" i="1"/>
  <c r="H11" i="1"/>
  <c r="H12" i="1"/>
  <c r="H13" i="1"/>
  <c r="H14" i="1"/>
  <c r="H15" i="1"/>
  <c r="F4" i="1"/>
  <c r="F5" i="1"/>
  <c r="F6" i="1"/>
  <c r="F7" i="1"/>
  <c r="F8" i="1"/>
  <c r="F9" i="1"/>
  <c r="F10" i="1"/>
  <c r="F11" i="1"/>
  <c r="F12" i="1"/>
  <c r="F13" i="1"/>
  <c r="F14" i="1"/>
  <c r="F15" i="1"/>
  <c r="F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D3" i="1"/>
  <c r="D4" i="1"/>
  <c r="D5" i="1"/>
  <c r="D6" i="1"/>
  <c r="D7" i="1"/>
  <c r="D8" i="1"/>
  <c r="D9" i="1"/>
  <c r="D10" i="1"/>
  <c r="D11" i="1"/>
  <c r="D12" i="1"/>
  <c r="D13" i="1"/>
  <c r="D14" i="1"/>
  <c r="D15" i="1"/>
</calcChain>
</file>

<file path=xl/sharedStrings.xml><?xml version="1.0" encoding="utf-8"?>
<sst xmlns="http://schemas.openxmlformats.org/spreadsheetml/2006/main" count="13" uniqueCount="13">
  <si>
    <t>Io</t>
  </si>
  <si>
    <t>Europa</t>
  </si>
  <si>
    <t>Ganymede</t>
  </si>
  <si>
    <t>Callisto</t>
  </si>
  <si>
    <t>UNIX</t>
  </si>
  <si>
    <t>Time</t>
  </si>
  <si>
    <t>Date</t>
  </si>
  <si>
    <t>Jupyter x-value</t>
  </si>
  <si>
    <t>Io aligned</t>
  </si>
  <si>
    <t>Europa aligned</t>
  </si>
  <si>
    <t>Ganymede aligned</t>
  </si>
  <si>
    <t>Callisto aligned</t>
  </si>
  <si>
    <t>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</si>
</sst>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h:mm:ss;@"/>
    <numFmt numFmtId="169" formatCode="dd\.m\.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8" fontId="0" fillId="0" borderId="0" xfId="0" applyNumberFormat="1"/>
    <xf numFmtId="169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zoomScaleNormal="100" workbookViewId="0">
      <selection activeCell="A2" sqref="A2"/>
    </sheetView>
  </sheetViews>
  <sheetFormatPr defaultRowHeight="15" x14ac:dyDescent="0.25"/>
  <cols>
    <col min="1" max="1" width="14" customWidth="1"/>
    <col min="2" max="2" width="11" bestFit="1" customWidth="1"/>
    <col min="3" max="3" width="12" customWidth="1"/>
    <col min="4" max="6" width="10.42578125" customWidth="1"/>
    <col min="7" max="7" width="10.5703125" customWidth="1"/>
    <col min="8" max="8" width="14.140625" customWidth="1"/>
    <col min="9" max="9" width="10.42578125" customWidth="1"/>
    <col min="10" max="10" width="18" customWidth="1"/>
    <col min="12" max="12" width="19.140625" customWidth="1"/>
  </cols>
  <sheetData>
    <row r="1" spans="1:12" x14ac:dyDescent="0.25">
      <c r="E1" s="4"/>
      <c r="F1" s="4"/>
      <c r="G1" s="4"/>
      <c r="H1" s="4"/>
      <c r="I1" s="4"/>
      <c r="J1" s="4"/>
      <c r="K1" s="4"/>
      <c r="L1" s="4"/>
    </row>
    <row r="2" spans="1:12" x14ac:dyDescent="0.25">
      <c r="A2" t="s">
        <v>12</v>
      </c>
      <c r="B2" s="1" t="s">
        <v>4</v>
      </c>
      <c r="C2" s="1" t="s">
        <v>6</v>
      </c>
      <c r="D2" s="1" t="s">
        <v>5</v>
      </c>
      <c r="E2" s="1" t="s">
        <v>0</v>
      </c>
      <c r="F2" s="1" t="s">
        <v>8</v>
      </c>
      <c r="G2" s="1" t="s">
        <v>1</v>
      </c>
      <c r="H2" s="1" t="s">
        <v>9</v>
      </c>
      <c r="I2" s="1" t="s">
        <v>2</v>
      </c>
      <c r="J2" s="1" t="s">
        <v>10</v>
      </c>
      <c r="K2" s="1" t="s">
        <v>3</v>
      </c>
      <c r="L2" s="1" t="s">
        <v>11</v>
      </c>
    </row>
    <row r="3" spans="1:12" x14ac:dyDescent="0.25">
      <c r="A3">
        <v>1</v>
      </c>
      <c r="B3">
        <v>1286335254</v>
      </c>
      <c r="C3" s="3">
        <f>(B3/86400)+DATE(1970,1,1)</f>
        <v>40457.139513888891</v>
      </c>
      <c r="D3" s="2">
        <f>(B3/86400)+DATE(1970,1,1)</f>
        <v>40457.139513888891</v>
      </c>
      <c r="E3">
        <v>344.55700000000002</v>
      </c>
      <c r="F3">
        <f>E3-$A$19</f>
        <v>45.802999999999997</v>
      </c>
      <c r="G3">
        <v>271.12900000000002</v>
      </c>
      <c r="H3">
        <f>G3-$A$19</f>
        <v>-27.625</v>
      </c>
      <c r="K3">
        <v>533.38</v>
      </c>
      <c r="L3">
        <f>K3-$A$19</f>
        <v>234.62599999999998</v>
      </c>
    </row>
    <row r="4" spans="1:12" x14ac:dyDescent="0.25">
      <c r="A4">
        <v>2</v>
      </c>
      <c r="B4">
        <v>1286335393</v>
      </c>
      <c r="C4" s="3">
        <f t="shared" ref="C4:C15" si="0">(B4/86400)+DATE(1970,1,1)</f>
        <v>40457.141122685185</v>
      </c>
      <c r="D4" s="2">
        <f>(B4/86400)+DATE(1970,1,1)</f>
        <v>40457.141122685185</v>
      </c>
      <c r="E4">
        <v>344.14</v>
      </c>
      <c r="F4">
        <f t="shared" ref="F4:F15" si="1">E4-$A$19</f>
        <v>45.385999999999967</v>
      </c>
      <c r="G4">
        <v>270.93799999999999</v>
      </c>
      <c r="H4">
        <f t="shared" ref="H4:H15" si="2">G4-$A$19</f>
        <v>-27.816000000000031</v>
      </c>
      <c r="K4">
        <v>533.024</v>
      </c>
      <c r="L4">
        <f t="shared" ref="L4:L15" si="3">K4-$A$19</f>
        <v>234.26999999999998</v>
      </c>
    </row>
    <row r="5" spans="1:12" x14ac:dyDescent="0.25">
      <c r="A5">
        <v>3</v>
      </c>
      <c r="B5">
        <v>1286339042</v>
      </c>
      <c r="C5" s="3">
        <f t="shared" si="0"/>
        <v>40457.183356481481</v>
      </c>
      <c r="D5" s="2">
        <f>(B5/86400)+DATE(1970,1,1)</f>
        <v>40457.183356481481</v>
      </c>
      <c r="E5">
        <v>340.19799999999998</v>
      </c>
      <c r="F5">
        <f t="shared" si="1"/>
        <v>41.44399999999996</v>
      </c>
      <c r="G5">
        <v>277.52100000000002</v>
      </c>
      <c r="H5">
        <f t="shared" si="2"/>
        <v>-21.233000000000004</v>
      </c>
      <c r="K5">
        <v>533.46799999999996</v>
      </c>
      <c r="L5">
        <f t="shared" si="3"/>
        <v>234.71399999999994</v>
      </c>
    </row>
    <row r="6" spans="1:12" x14ac:dyDescent="0.25">
      <c r="A6">
        <v>4</v>
      </c>
      <c r="B6">
        <v>1286341981</v>
      </c>
      <c r="C6" s="3">
        <f t="shared" si="0"/>
        <v>40457.217372685183</v>
      </c>
      <c r="D6" s="2">
        <f>(B6/86400)+DATE(1970,1,1)</f>
        <v>40457.217372685183</v>
      </c>
      <c r="E6">
        <v>335.92099999999999</v>
      </c>
      <c r="F6">
        <f t="shared" si="1"/>
        <v>37.166999999999973</v>
      </c>
      <c r="G6">
        <v>282.81700000000001</v>
      </c>
      <c r="H6">
        <f t="shared" si="2"/>
        <v>-15.937000000000012</v>
      </c>
      <c r="I6">
        <v>282.39299999999997</v>
      </c>
      <c r="J6">
        <f>I6-$A$19</f>
        <v>-16.361000000000047</v>
      </c>
      <c r="K6">
        <v>533.23599999999999</v>
      </c>
      <c r="L6">
        <f t="shared" si="3"/>
        <v>234.48199999999997</v>
      </c>
    </row>
    <row r="7" spans="1:12" x14ac:dyDescent="0.25">
      <c r="A7">
        <v>5</v>
      </c>
      <c r="B7">
        <v>1286342160</v>
      </c>
      <c r="C7" s="3">
        <f t="shared" si="0"/>
        <v>40457.219444444447</v>
      </c>
      <c r="D7" s="2">
        <f>(B7/86400)+DATE(1970,1,1)</f>
        <v>40457.219444444447</v>
      </c>
      <c r="E7">
        <v>335.59800000000001</v>
      </c>
      <c r="F7">
        <f t="shared" si="1"/>
        <v>36.843999999999994</v>
      </c>
      <c r="G7">
        <v>282.57100000000003</v>
      </c>
      <c r="H7">
        <f t="shared" si="2"/>
        <v>-16.182999999999993</v>
      </c>
      <c r="I7">
        <v>282.23599999999999</v>
      </c>
      <c r="J7">
        <f t="shared" ref="J7:J15" si="4">I7-$A$19</f>
        <v>-16.518000000000029</v>
      </c>
      <c r="K7">
        <v>533.197</v>
      </c>
      <c r="L7">
        <f t="shared" si="3"/>
        <v>234.44299999999998</v>
      </c>
    </row>
    <row r="8" spans="1:12" x14ac:dyDescent="0.25">
      <c r="A8">
        <v>6</v>
      </c>
      <c r="B8">
        <v>1286345191</v>
      </c>
      <c r="C8" s="3">
        <f t="shared" si="0"/>
        <v>40457.254525462966</v>
      </c>
      <c r="D8" s="2">
        <f>(B8/86400)+DATE(1970,1,1)</f>
        <v>40457.254525462966</v>
      </c>
      <c r="E8">
        <v>335.52199999999999</v>
      </c>
      <c r="F8">
        <f t="shared" si="1"/>
        <v>36.767999999999972</v>
      </c>
      <c r="G8">
        <v>282.84899999999999</v>
      </c>
      <c r="H8">
        <f t="shared" si="2"/>
        <v>-15.90500000000003</v>
      </c>
      <c r="I8">
        <v>282.12900000000002</v>
      </c>
      <c r="J8">
        <f t="shared" si="4"/>
        <v>-16.625</v>
      </c>
      <c r="K8">
        <v>533.00400000000002</v>
      </c>
      <c r="L8">
        <f t="shared" si="3"/>
        <v>234.25</v>
      </c>
    </row>
    <row r="9" spans="1:12" x14ac:dyDescent="0.25">
      <c r="A9">
        <v>7</v>
      </c>
      <c r="B9">
        <v>1286345311</v>
      </c>
      <c r="C9" s="3">
        <f t="shared" si="0"/>
        <v>40457.255914351852</v>
      </c>
      <c r="D9" s="2">
        <f>(B9/86400)+DATE(1970,1,1)</f>
        <v>40457.255914351852</v>
      </c>
      <c r="E9">
        <v>330.78100000000001</v>
      </c>
      <c r="F9">
        <f t="shared" si="1"/>
        <v>32.026999999999987</v>
      </c>
      <c r="G9">
        <v>288.02999999999997</v>
      </c>
      <c r="H9">
        <f t="shared" si="2"/>
        <v>-10.724000000000046</v>
      </c>
      <c r="I9">
        <v>278.19799999999998</v>
      </c>
      <c r="J9">
        <f t="shared" si="4"/>
        <v>-20.55600000000004</v>
      </c>
      <c r="K9">
        <v>533.36099999999999</v>
      </c>
      <c r="L9">
        <f t="shared" si="3"/>
        <v>234.60699999999997</v>
      </c>
    </row>
    <row r="10" spans="1:12" x14ac:dyDescent="0.25">
      <c r="A10">
        <v>8</v>
      </c>
      <c r="B10">
        <v>1286348690</v>
      </c>
      <c r="C10" s="3">
        <f t="shared" si="0"/>
        <v>40457.295023148152</v>
      </c>
      <c r="D10" s="2">
        <f>(B10/86400)+DATE(1970,1,1)</f>
        <v>40457.295023148152</v>
      </c>
      <c r="E10">
        <v>325.07100000000003</v>
      </c>
      <c r="F10">
        <f t="shared" si="1"/>
        <v>26.317000000000007</v>
      </c>
      <c r="I10">
        <v>272.87400000000002</v>
      </c>
      <c r="J10">
        <f t="shared" si="4"/>
        <v>-25.879999999999995</v>
      </c>
      <c r="K10">
        <v>533.70899999999995</v>
      </c>
      <c r="L10">
        <f t="shared" si="3"/>
        <v>234.95499999999993</v>
      </c>
    </row>
    <row r="11" spans="1:12" x14ac:dyDescent="0.25">
      <c r="A11">
        <v>9</v>
      </c>
      <c r="B11">
        <v>1286427002</v>
      </c>
      <c r="C11" s="3">
        <f t="shared" si="0"/>
        <v>40458.201412037037</v>
      </c>
      <c r="D11" s="2">
        <f>(B11/86400)+DATE(1970,1,1)</f>
        <v>40458.201412037037</v>
      </c>
      <c r="E11">
        <v>276.91899999999998</v>
      </c>
      <c r="F11">
        <f t="shared" si="1"/>
        <v>-21.835000000000036</v>
      </c>
      <c r="G11">
        <v>381.92099999999999</v>
      </c>
      <c r="H11">
        <f t="shared" si="2"/>
        <v>83.166999999999973</v>
      </c>
      <c r="I11">
        <v>187.423</v>
      </c>
      <c r="J11">
        <f t="shared" si="4"/>
        <v>-111.33100000000002</v>
      </c>
      <c r="K11">
        <v>514.31200000000001</v>
      </c>
      <c r="L11">
        <f t="shared" si="3"/>
        <v>215.55799999999999</v>
      </c>
    </row>
    <row r="12" spans="1:12" x14ac:dyDescent="0.25">
      <c r="A12">
        <v>10</v>
      </c>
      <c r="B12">
        <v>1286432162</v>
      </c>
      <c r="C12" s="3">
        <f t="shared" si="0"/>
        <v>40458.261134259257</v>
      </c>
      <c r="D12" s="2">
        <f>(B12/86400)+DATE(1970,1,1)</f>
        <v>40458.261134259257</v>
      </c>
      <c r="E12">
        <v>287.59300000000002</v>
      </c>
      <c r="F12">
        <f t="shared" si="1"/>
        <v>-11.161000000000001</v>
      </c>
      <c r="G12">
        <v>381.30900000000003</v>
      </c>
      <c r="H12">
        <f t="shared" si="2"/>
        <v>82.555000000000007</v>
      </c>
      <c r="I12">
        <v>183.65899999999999</v>
      </c>
      <c r="J12">
        <f t="shared" si="4"/>
        <v>-115.09500000000003</v>
      </c>
      <c r="K12">
        <v>511.952</v>
      </c>
      <c r="L12">
        <f t="shared" si="3"/>
        <v>213.19799999999998</v>
      </c>
    </row>
    <row r="13" spans="1:12" x14ac:dyDescent="0.25">
      <c r="A13">
        <v>11</v>
      </c>
      <c r="B13">
        <v>1286606436</v>
      </c>
      <c r="C13" s="3">
        <f t="shared" si="0"/>
        <v>40460.278194444443</v>
      </c>
      <c r="D13" s="2">
        <f>(B13/86400)+DATE(1970,1,1)</f>
        <v>40460.278194444443</v>
      </c>
      <c r="E13">
        <v>331.154</v>
      </c>
      <c r="F13">
        <f t="shared" si="1"/>
        <v>32.399999999999977</v>
      </c>
      <c r="G13">
        <v>226.02199999999999</v>
      </c>
      <c r="H13">
        <f t="shared" si="2"/>
        <v>-72.732000000000028</v>
      </c>
      <c r="I13">
        <v>255.767</v>
      </c>
      <c r="J13">
        <f t="shared" si="4"/>
        <v>-42.987000000000023</v>
      </c>
      <c r="K13">
        <v>384.97</v>
      </c>
      <c r="L13">
        <f t="shared" si="3"/>
        <v>86.216000000000008</v>
      </c>
    </row>
    <row r="14" spans="1:12" x14ac:dyDescent="0.25">
      <c r="A14">
        <v>12</v>
      </c>
      <c r="B14">
        <v>1286687219</v>
      </c>
      <c r="C14" s="3">
        <f t="shared" si="0"/>
        <v>40461.213182870371</v>
      </c>
      <c r="D14" s="2">
        <f>(B14/86400)+DATE(1970,1,1)</f>
        <v>40461.213182870371</v>
      </c>
      <c r="E14">
        <v>259.50400000000002</v>
      </c>
      <c r="F14">
        <f t="shared" si="1"/>
        <v>-39.25</v>
      </c>
      <c r="G14">
        <v>346.22300000000001</v>
      </c>
      <c r="H14">
        <f t="shared" si="2"/>
        <v>47.468999999999994</v>
      </c>
      <c r="I14">
        <v>361.5</v>
      </c>
      <c r="J14">
        <f t="shared" si="4"/>
        <v>62.745999999999981</v>
      </c>
      <c r="K14">
        <v>303.77699999999999</v>
      </c>
      <c r="L14">
        <f t="shared" si="3"/>
        <v>5.0229999999999677</v>
      </c>
    </row>
    <row r="15" spans="1:12" x14ac:dyDescent="0.25">
      <c r="A15">
        <v>13</v>
      </c>
      <c r="B15">
        <v>1286772808</v>
      </c>
      <c r="C15" s="3">
        <f t="shared" si="0"/>
        <v>40462.203796296293</v>
      </c>
      <c r="D15" s="2">
        <f>(B15/86400)+DATE(1970,1,1)</f>
        <v>40462.203796296293</v>
      </c>
      <c r="E15">
        <v>347.92700000000002</v>
      </c>
      <c r="F15">
        <f t="shared" si="1"/>
        <v>49.173000000000002</v>
      </c>
      <c r="G15">
        <v>355.99099999999999</v>
      </c>
      <c r="H15">
        <f t="shared" si="2"/>
        <v>57.236999999999966</v>
      </c>
      <c r="I15">
        <v>428.34100000000001</v>
      </c>
      <c r="J15">
        <f t="shared" si="4"/>
        <v>129.58699999999999</v>
      </c>
      <c r="K15">
        <v>217.58699999999999</v>
      </c>
      <c r="L15">
        <f t="shared" si="3"/>
        <v>-81.16700000000003</v>
      </c>
    </row>
    <row r="18" spans="1:1" x14ac:dyDescent="0.25">
      <c r="A18" s="1" t="s">
        <v>7</v>
      </c>
    </row>
    <row r="19" spans="1:1" x14ac:dyDescent="0.25">
      <c r="A19">
        <v>298.75400000000002</v>
      </c>
    </row>
  </sheetData>
  <mergeCells count="1">
    <mergeCell ref="E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Hauss</dc:creator>
  <cp:lastModifiedBy>Gabriel Hauss</cp:lastModifiedBy>
  <dcterms:created xsi:type="dcterms:W3CDTF">2015-06-05T18:17:20Z</dcterms:created>
  <dcterms:modified xsi:type="dcterms:W3CDTF">2022-04-28T11:37:30Z</dcterms:modified>
</cp:coreProperties>
</file>